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77c87f7a471cf3/Documents/"/>
    </mc:Choice>
  </mc:AlternateContent>
  <xr:revisionPtr revIDLastSave="105" documentId="8_{CA984AF5-059E-4E1C-836B-B0369DF2D793}" xr6:coauthVersionLast="47" xr6:coauthVersionMax="47" xr10:uidLastSave="{4477DDF0-B945-4402-A2E7-D5A3F13D221A}"/>
  <bookViews>
    <workbookView xWindow="-108" yWindow="-108" windowWidth="23256" windowHeight="12456" activeTab="2" xr2:uid="{67D614B0-E9EE-4FEC-A06C-13D32031CC1B}"/>
  </bookViews>
  <sheets>
    <sheet name="Sheet1" sheetId="1" r:id="rId1"/>
    <sheet name="summary" sheetId="2" r:id="rId2"/>
    <sheet name="Inventor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2" i="3"/>
  <c r="B3" i="2"/>
  <c r="B4" i="2"/>
  <c r="B5" i="2"/>
  <c r="B6" i="2"/>
  <c r="B7" i="2"/>
  <c r="E3" i="2" a="1"/>
  <c r="E3" i="2" s="1"/>
  <c r="E4" i="2" a="1"/>
  <c r="E4" i="2" s="1"/>
  <c r="E2" i="2" a="1"/>
  <c r="E2" i="2" s="1"/>
  <c r="B2" i="2"/>
  <c r="J3" i="1"/>
  <c r="J4" i="1"/>
  <c r="J5" i="1"/>
  <c r="J6" i="1"/>
  <c r="J2" i="1"/>
  <c r="L6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<sst xmlns="http://schemas.openxmlformats.org/spreadsheetml/2006/main" count="136" uniqueCount="103">
  <si>
    <t>Ticket ID</t>
  </si>
  <si>
    <t xml:space="preserve">Date Opened </t>
  </si>
  <si>
    <t>Date Closed</t>
  </si>
  <si>
    <t>Days to Resolve</t>
  </si>
  <si>
    <t xml:space="preserve"> Category</t>
  </si>
  <si>
    <t xml:space="preserve">  Priority</t>
  </si>
  <si>
    <t xml:space="preserve">   Status</t>
  </si>
  <si>
    <t xml:space="preserve"> Solution</t>
  </si>
  <si>
    <t xml:space="preserve">  User</t>
  </si>
  <si>
    <t xml:space="preserve">  Issue</t>
  </si>
  <si>
    <t>T001</t>
  </si>
  <si>
    <t>Anita (Accounts)</t>
  </si>
  <si>
    <t>Laptop cannot connect to office Wi-Fi</t>
  </si>
  <si>
    <t>Wi-Fi</t>
  </si>
  <si>
    <t>High</t>
  </si>
  <si>
    <t>Closed</t>
  </si>
  <si>
    <t>Forgot and re-added the network, renewed IP address</t>
  </si>
  <si>
    <t>T002</t>
  </si>
  <si>
    <t>Rahul (Sales)</t>
  </si>
  <si>
    <t>Printer shows offline</t>
  </si>
  <si>
    <t>Printer</t>
  </si>
  <si>
    <t>Medium</t>
  </si>
  <si>
    <t>Restarted printer, cleared print queue</t>
  </si>
  <si>
    <t>T003</t>
  </si>
  <si>
    <t>Meera (HR)</t>
  </si>
  <si>
    <t>Forgot email password</t>
  </si>
  <si>
    <t>Password</t>
  </si>
  <si>
    <t>Reset password through admin portal</t>
  </si>
  <si>
    <t>T004</t>
  </si>
  <si>
    <t>Joseph (Admin)</t>
  </si>
  <si>
    <t>VPN will not connect from home</t>
  </si>
  <si>
    <t>Network</t>
  </si>
  <si>
    <t>In Progress</t>
  </si>
  <si>
    <t>T005</t>
  </si>
  <si>
    <t>Excel file says “locked for editing”</t>
  </si>
  <si>
    <t>Amrita(Marketing)</t>
  </si>
  <si>
    <t>Software</t>
  </si>
  <si>
    <t>Low</t>
  </si>
  <si>
    <t xml:space="preserve">  Tickets</t>
  </si>
  <si>
    <t xml:space="preserve">  Wi-Fi</t>
  </si>
  <si>
    <t xml:space="preserve"> Printer</t>
  </si>
  <si>
    <t xml:space="preserve">Password </t>
  </si>
  <si>
    <t>Hardware</t>
  </si>
  <si>
    <t xml:space="preserve">  Status</t>
  </si>
  <si>
    <t xml:space="preserve">  Count</t>
  </si>
  <si>
    <t xml:space="preserve">  Open</t>
  </si>
  <si>
    <t xml:space="preserve">  Closed</t>
  </si>
  <si>
    <t>Asset Tag</t>
  </si>
  <si>
    <t>Device Type</t>
  </si>
  <si>
    <t>Brand / Model</t>
  </si>
  <si>
    <t>Serial No.</t>
  </si>
  <si>
    <t>Assigned To</t>
  </si>
  <si>
    <t>Date Issued</t>
  </si>
  <si>
    <t>Condition</t>
  </si>
  <si>
    <t>IT-001</t>
  </si>
  <si>
    <t>Laptop</t>
  </si>
  <si>
    <t>Dell Latitude 5420</t>
  </si>
  <si>
    <t>SN-1001</t>
  </si>
  <si>
    <t>Anita</t>
  </si>
  <si>
    <t>Good</t>
  </si>
  <si>
    <t>In Use</t>
  </si>
  <si>
    <t>IT-002</t>
  </si>
  <si>
    <t>Monitor</t>
  </si>
  <si>
    <t>HP 24 inch</t>
  </si>
  <si>
    <t>SN-1002</t>
  </si>
  <si>
    <t>IT-003</t>
  </si>
  <si>
    <t>Lenovo ThinkPad E14</t>
  </si>
  <si>
    <t>SN-1003</t>
  </si>
  <si>
    <t>Rahul</t>
  </si>
  <si>
    <t>IT-004</t>
  </si>
  <si>
    <t>Canon LBP6030</t>
  </si>
  <si>
    <t>SN-1004</t>
  </si>
  <si>
    <t>Shared (Office)</t>
  </si>
  <si>
    <t>Fair</t>
  </si>
  <si>
    <t>IT-005</t>
  </si>
  <si>
    <t>Keyboard</t>
  </si>
  <si>
    <t>Logitech K120</t>
  </si>
  <si>
    <t>SN-1005</t>
  </si>
  <si>
    <t>Meera</t>
  </si>
  <si>
    <t>IT-006</t>
  </si>
  <si>
    <t>Mobile Phone</t>
  </si>
  <si>
    <t>Samsung Galaxy A14</t>
  </si>
  <si>
    <t>SN-1006</t>
  </si>
  <si>
    <t>Joseph</t>
  </si>
  <si>
    <t>IT-007</t>
  </si>
  <si>
    <t>HP ProBook 450</t>
  </si>
  <si>
    <t>SN-1007</t>
  </si>
  <si>
    <t>Priya</t>
  </si>
  <si>
    <t>Damaged</t>
  </si>
  <si>
    <t>Under Repair</t>
  </si>
  <si>
    <t>IT-008</t>
  </si>
  <si>
    <t>Dell 22 inch</t>
  </si>
  <si>
    <t>SN-1008</t>
  </si>
  <si>
    <t>IT Store</t>
  </si>
  <si>
    <t>Not issued</t>
  </si>
  <si>
    <t>New</t>
  </si>
  <si>
    <t>In Stock</t>
  </si>
  <si>
    <t>IT-009</t>
  </si>
  <si>
    <t>Acer Aspire 5</t>
  </si>
  <si>
    <t>SN-1009</t>
  </si>
  <si>
    <t>Returned</t>
  </si>
  <si>
    <r>
      <t xml:space="preserve">  </t>
    </r>
    <r>
      <rPr>
        <b/>
        <sz val="11"/>
        <color theme="1"/>
        <rFont val="Calibri"/>
        <family val="2"/>
        <scheme val="minor"/>
      </rPr>
      <t>Count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</si>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</sst>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 Tickets</a:t>
            </a:r>
            <a:r>
              <a:rPr lang="en-IN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  Tickets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summary!$A$2:$A$7</c:f>
              <c:strCache>
                <c:ptCount val="6"/>
                <c:pt idx="0">
                  <c:v>  Wi-Fi</c:v>
                </c:pt>
                <c:pt idx="1">
                  <c:v> Printer</c:v>
                </c:pt>
                <c:pt idx="2">
                  <c:v>Password </c:v>
                </c:pt>
                <c:pt idx="3">
                  <c:v>Software</c:v>
                </c:pt>
                <c:pt idx="4">
                  <c:v>Hardware</c:v>
                </c:pt>
                <c:pt idx="5">
                  <c:v>Network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B-4F48-B5FC-63832D1E8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1757600"/>
        <c:axId val="1758055696"/>
      </c:barChart>
      <c:catAx>
        <c:axId val="175175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055696"/>
        <c:crosses val="autoZero"/>
        <c:auto val="1"/>
        <c:lblAlgn val="ctr"/>
        <c:lblOffset val="100"/>
        <c:noMultiLvlLbl val="0"/>
      </c:catAx>
      <c:valAx>
        <c:axId val="17580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5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 Tickets</a:t>
            </a:r>
            <a:r>
              <a:rPr lang="en-IN" baseline="0"/>
              <a:t> by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15782407407407409"/>
          <c:w val="0.8965579615048119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 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summary!$D$2:$D$4</c:f>
              <c:strCache>
                <c:ptCount val="3"/>
                <c:pt idx="0">
                  <c:v>  Open</c:v>
                </c:pt>
                <c:pt idx="1">
                  <c:v>In Progress</c:v>
                </c:pt>
                <c:pt idx="2">
                  <c:v>  Closed</c:v>
                </c:pt>
              </c:strCache>
            </c:strRef>
          </c:cat>
          <c:val>
            <c:numRef>
              <c:f>summary!$E$2:$E$4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0-4163-A7D8-63FF2D2A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8128048"/>
        <c:axId val="1757941936"/>
      </c:barChart>
      <c:catAx>
        <c:axId val="18381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941936"/>
        <c:crosses val="autoZero"/>
        <c:auto val="1"/>
        <c:lblAlgn val="ctr"/>
        <c:lblOffset val="100"/>
        <c:noMultiLvlLbl val="0"/>
      </c:catAx>
      <c:valAx>
        <c:axId val="17579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2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6</xdr:row>
      <xdr:rowOff>156210</xdr:rowOff>
    </xdr:from>
    <xdr:to>
      <xdr:col>12</xdr:col>
      <xdr:colOff>579120</xdr:colOff>
      <xdr:row>21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400512-DE89-41EC-781D-5F3BFA59B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220980</xdr:colOff>
      <xdr:row>6</xdr:row>
      <xdr:rowOff>156210</xdr:rowOff>
    </xdr:from>
    <xdr:to>
      <xdr:col>21</xdr:col>
      <xdr:colOff>525780</xdr:colOff>
      <xdr:row>21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AA1645-522D-4691-2567-871C20807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cke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ckets"/>
    </sheetNames>
    <definedNames>
      <definedName name="G2G"/>
    </defined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35FA-5A3C-46EE-A0BA-FE3AD5B2F8CC}">
  <dimension ref="A1:J50"/>
  <sheetViews>
    <sheetView workbookViewId="0">
      <selection activeCell="G2" sqref="G2:G50"/>
    </sheetView>
  </sheetViews>
  <sheetFormatPr defaultRowHeight="14.4" x14ac:dyDescent="0.3"/>
  <cols>
    <col min="1" max="1" width="8.21875" bestFit="1" customWidth="1"/>
    <col min="2" max="2" width="12.44140625" bestFit="1" customWidth="1"/>
    <col min="3" max="4" width="6.5546875" bestFit="1" customWidth="1"/>
    <col min="5" max="5" width="9" bestFit="1" customWidth="1"/>
    <col min="6" max="6" width="8" bestFit="1" customWidth="1"/>
    <col min="7" max="7" width="7.5546875" bestFit="1" customWidth="1"/>
    <col min="8" max="8" width="8.44140625" bestFit="1" customWidth="1"/>
    <col min="9" max="9" width="10.88671875" bestFit="1" customWidth="1"/>
    <col min="10" max="10" width="14.218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3</v>
      </c>
    </row>
    <row r="2" spans="1:10" ht="115.2" x14ac:dyDescent="0.3">
      <c r="A2" s="2" t="s">
        <v>10</v>
      </c>
      <c r="B2" s="4">
        <v>46296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4">
        <v>46296</v>
      </c>
      <c r="J2">
        <f>IF(I2="","",I2-B2)</f>
        <v>0</v>
      </c>
    </row>
    <row r="3" spans="1:10" ht="72" x14ac:dyDescent="0.3">
      <c r="A3" s="2" t="s">
        <v>17</v>
      </c>
      <c r="B3" s="4">
        <v>46297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15</v>
      </c>
      <c r="H3" s="2" t="s">
        <v>22</v>
      </c>
      <c r="I3" s="4">
        <v>46297</v>
      </c>
      <c r="J3">
        <f t="shared" ref="J3:J6" si="0">IF(I3="","",I3-B3)</f>
        <v>0</v>
      </c>
    </row>
    <row r="4" spans="1:10" ht="86.4" x14ac:dyDescent="0.3">
      <c r="A4" s="2" t="s">
        <v>23</v>
      </c>
      <c r="B4" s="4">
        <v>46298</v>
      </c>
      <c r="C4" s="2" t="s">
        <v>24</v>
      </c>
      <c r="D4" s="2" t="s">
        <v>25</v>
      </c>
      <c r="E4" s="2" t="s">
        <v>26</v>
      </c>
      <c r="F4" s="2" t="s">
        <v>14</v>
      </c>
      <c r="G4" s="2" t="s">
        <v>15</v>
      </c>
      <c r="H4" s="2" t="s">
        <v>27</v>
      </c>
      <c r="I4" s="4">
        <v>46298</v>
      </c>
      <c r="J4">
        <f t="shared" si="0"/>
        <v>0</v>
      </c>
    </row>
    <row r="5" spans="1:10" ht="100.8" x14ac:dyDescent="0.3">
      <c r="A5" s="2" t="s">
        <v>28</v>
      </c>
      <c r="B5" s="4">
        <v>46300</v>
      </c>
      <c r="C5" s="2" t="s">
        <v>29</v>
      </c>
      <c r="D5" s="2" t="s">
        <v>30</v>
      </c>
      <c r="E5" s="2" t="s">
        <v>31</v>
      </c>
      <c r="F5" s="2" t="s">
        <v>21</v>
      </c>
      <c r="G5" s="2" t="s">
        <v>32</v>
      </c>
      <c r="H5" s="2"/>
      <c r="I5" s="2"/>
      <c r="J5" t="str">
        <f t="shared" si="0"/>
        <v/>
      </c>
    </row>
    <row r="6" spans="1:10" ht="100.8" x14ac:dyDescent="0.3">
      <c r="A6" s="2" t="s">
        <v>33</v>
      </c>
      <c r="B6" s="3">
        <v>46302</v>
      </c>
      <c r="C6" s="2" t="s">
        <v>35</v>
      </c>
      <c r="D6" s="2" t="s">
        <v>34</v>
      </c>
      <c r="E6" s="2" t="s">
        <v>36</v>
      </c>
      <c r="F6" s="2" t="s">
        <v>37</v>
      </c>
      <c r="G6" s="2" t="s">
        <v>32</v>
      </c>
      <c r="J6" t="str">
        <f t="shared" si="0"/>
        <v/>
      </c>
    </row>
    <row r="50" spans="5:5" x14ac:dyDescent="0.3">
      <c r="E50" s="2" t="s">
        <v>13</v>
      </c>
    </row>
  </sheetData>
  <dataValidations count="1">
    <dataValidation type="list" allowBlank="1" showInputMessage="1" showErrorMessage="1" sqref="E2:E50 F2:F50 G2:G50" xr:uid="{F7F8B312-1029-4FED-8DF1-63625FD602F5}">
      <formula1>"Wi-Fi,Printer,Password,Software,Hardware,Network"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59CF-CED7-4A43-BFC0-DA0339BB2DA9}">
  <dimension ref="A1:E7"/>
  <sheetViews>
    <sheetView workbookViewId="0">
      <selection activeCell="R13" sqref="R13"/>
    </sheetView>
  </sheetViews>
  <sheetFormatPr defaultRowHeight="14.4" x14ac:dyDescent="0.3"/>
  <sheetData>
    <row r="1" spans="1:5" x14ac:dyDescent="0.3">
      <c r="A1" t="s">
        <v>4</v>
      </c>
      <c r="B1" t="s">
        <v>38</v>
      </c>
      <c r="D1" t="s">
        <v>43</v>
      </c>
      <c r="E1" t="s">
        <v>44</v>
      </c>
    </row>
    <row r="2" spans="1:5" x14ac:dyDescent="0.3">
      <c r="A2" t="s">
        <v>39</v>
      </c>
      <c r="B2" t="e">
        <f>COUNTIF([1]Tickets!E:E,A2)</f>
        <v>#VALUE!</v>
      </c>
      <c r="D2" t="s">
        <v>45</v>
      </c>
      <c r="E2" t="e" cm="1">
        <f t="array" ref="E2">COUNTIF([1]!G2G:(G),D2)</f>
        <v>#NAME?</v>
      </c>
    </row>
    <row r="3" spans="1:5" x14ac:dyDescent="0.3">
      <c r="A3" t="s">
        <v>40</v>
      </c>
      <c r="B3" t="e">
        <f>COUNTIF([1]Tickets!E:E,A3)</f>
        <v>#VALUE!</v>
      </c>
      <c r="D3" t="s">
        <v>32</v>
      </c>
      <c r="E3" t="e" cm="1">
        <f t="array" ref="E3">COUNTIF([1]!G2G:(G),D3)</f>
        <v>#NAME?</v>
      </c>
    </row>
    <row r="4" spans="1:5" x14ac:dyDescent="0.3">
      <c r="A4" t="s">
        <v>41</v>
      </c>
      <c r="B4" t="e">
        <f>COUNTIF([1]Tickets!E:E,A4)</f>
        <v>#VALUE!</v>
      </c>
      <c r="D4" t="s">
        <v>46</v>
      </c>
      <c r="E4" t="e" cm="1">
        <f t="array" ref="E4">COUNTIF([1]!G2G:(G),D4)</f>
        <v>#NAME?</v>
      </c>
    </row>
    <row r="5" spans="1:5" x14ac:dyDescent="0.3">
      <c r="A5" t="s">
        <v>36</v>
      </c>
      <c r="B5" t="e">
        <f>COUNTIF([1]Tickets!E:E,A5)</f>
        <v>#VALUE!</v>
      </c>
    </row>
    <row r="6" spans="1:5" x14ac:dyDescent="0.3">
      <c r="A6" t="s">
        <v>42</v>
      </c>
      <c r="B6" t="e">
        <f>COUNTIF([1]Tickets!E:E,A6)</f>
        <v>#VALUE!</v>
      </c>
    </row>
    <row r="7" spans="1:5" x14ac:dyDescent="0.3">
      <c r="A7" t="s">
        <v>31</v>
      </c>
      <c r="B7" t="e">
        <f>COUNTIF([1]Tickets!E:E,A7)</f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C736-18CF-4FF0-8D65-BE0A5879E7FE}">
  <dimension ref="A1:L10"/>
  <sheetViews>
    <sheetView tabSelected="1" workbookViewId="0">
      <selection activeCell="H11" sqref="H11"/>
    </sheetView>
  </sheetViews>
  <sheetFormatPr defaultRowHeight="14.4" x14ac:dyDescent="0.3"/>
  <cols>
    <col min="1" max="1" width="8.6640625" bestFit="1" customWidth="1"/>
    <col min="2" max="2" width="10.77734375" bestFit="1" customWidth="1"/>
    <col min="3" max="3" width="12.6640625" bestFit="1" customWidth="1"/>
    <col min="5" max="5" width="10.5546875" bestFit="1" customWidth="1"/>
    <col min="6" max="6" width="10.44140625" bestFit="1" customWidth="1"/>
    <col min="8" max="8" width="6.88671875" bestFit="1" customWidth="1"/>
    <col min="11" max="11" width="11.6640625" bestFit="1" customWidth="1"/>
    <col min="12" max="12" width="7" bestFit="1" customWidth="1"/>
  </cols>
  <sheetData>
    <row r="1" spans="1:12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43</v>
      </c>
      <c r="K1" s="5" t="s">
        <v>43</v>
      </c>
      <c r="L1" t="s">
        <v>101</v>
      </c>
    </row>
    <row r="2" spans="1:12" ht="28.8" x14ac:dyDescent="0.3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4">
        <v>46266</v>
      </c>
      <c r="G2" s="2" t="s">
        <v>59</v>
      </c>
      <c r="H2" s="2" t="s">
        <v>60</v>
      </c>
      <c r="K2" t="s">
        <v>60</v>
      </c>
      <c r="L2">
        <f>COUNTIF(H:H,K2)</f>
        <v>6</v>
      </c>
    </row>
    <row r="3" spans="1:12" x14ac:dyDescent="0.3">
      <c r="A3" s="2" t="s">
        <v>61</v>
      </c>
      <c r="B3" s="2" t="s">
        <v>62</v>
      </c>
      <c r="C3" s="2" t="s">
        <v>63</v>
      </c>
      <c r="D3" s="2" t="s">
        <v>64</v>
      </c>
      <c r="E3" s="2" t="s">
        <v>58</v>
      </c>
      <c r="F3" s="4">
        <v>46266</v>
      </c>
      <c r="G3" s="2" t="s">
        <v>59</v>
      </c>
      <c r="H3" s="2" t="s">
        <v>60</v>
      </c>
      <c r="K3" t="s">
        <v>96</v>
      </c>
      <c r="L3">
        <f t="shared" ref="L3:L5" si="0">COUNTIF(H:H,K3)</f>
        <v>1</v>
      </c>
    </row>
    <row r="4" spans="1:12" ht="28.8" x14ac:dyDescent="0.3">
      <c r="A4" s="2" t="s">
        <v>65</v>
      </c>
      <c r="B4" s="2" t="s">
        <v>55</v>
      </c>
      <c r="C4" s="2" t="s">
        <v>66</v>
      </c>
      <c r="D4" s="2" t="s">
        <v>67</v>
      </c>
      <c r="E4" s="2" t="s">
        <v>68</v>
      </c>
      <c r="F4" s="4">
        <v>46268</v>
      </c>
      <c r="G4" s="2" t="s">
        <v>59</v>
      </c>
      <c r="H4" s="2" t="s">
        <v>60</v>
      </c>
      <c r="K4" t="s">
        <v>89</v>
      </c>
      <c r="L4">
        <f t="shared" si="0"/>
        <v>1</v>
      </c>
    </row>
    <row r="5" spans="1:12" ht="28.8" x14ac:dyDescent="0.3">
      <c r="A5" s="2" t="s">
        <v>69</v>
      </c>
      <c r="B5" s="2" t="s">
        <v>20</v>
      </c>
      <c r="C5" s="2" t="s">
        <v>70</v>
      </c>
      <c r="D5" s="2" t="s">
        <v>71</v>
      </c>
      <c r="E5" s="2" t="s">
        <v>72</v>
      </c>
      <c r="F5" s="4">
        <v>46249</v>
      </c>
      <c r="G5" s="2" t="s">
        <v>73</v>
      </c>
      <c r="H5" s="2" t="s">
        <v>60</v>
      </c>
      <c r="K5" t="s">
        <v>100</v>
      </c>
      <c r="L5">
        <f t="shared" si="0"/>
        <v>1</v>
      </c>
    </row>
    <row r="6" spans="1:12" x14ac:dyDescent="0.3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4">
        <v>46275</v>
      </c>
      <c r="G6" s="2" t="s">
        <v>59</v>
      </c>
      <c r="H6" s="2" t="s">
        <v>60</v>
      </c>
      <c r="K6" t="s">
        <v>102</v>
      </c>
      <c r="L6">
        <f>SUM(L2:L5)</f>
        <v>9</v>
      </c>
    </row>
    <row r="7" spans="1:12" ht="28.8" x14ac:dyDescent="0.3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4">
        <v>46277</v>
      </c>
      <c r="G7" s="2" t="s">
        <v>73</v>
      </c>
      <c r="H7" s="2" t="s">
        <v>60</v>
      </c>
    </row>
    <row r="8" spans="1:12" ht="28.8" x14ac:dyDescent="0.3">
      <c r="A8" s="2" t="s">
        <v>84</v>
      </c>
      <c r="B8" s="2" t="s">
        <v>55</v>
      </c>
      <c r="C8" s="2" t="s">
        <v>85</v>
      </c>
      <c r="D8" s="2" t="s">
        <v>86</v>
      </c>
      <c r="E8" s="2" t="s">
        <v>87</v>
      </c>
      <c r="F8" s="4">
        <v>46280</v>
      </c>
      <c r="G8" s="2" t="s">
        <v>88</v>
      </c>
      <c r="H8" s="2" t="s">
        <v>89</v>
      </c>
    </row>
    <row r="9" spans="1:12" ht="28.8" x14ac:dyDescent="0.3">
      <c r="A9" s="2" t="s">
        <v>90</v>
      </c>
      <c r="B9" s="2" t="s">
        <v>62</v>
      </c>
      <c r="C9" s="2" t="s">
        <v>91</v>
      </c>
      <c r="D9" s="2" t="s">
        <v>92</v>
      </c>
      <c r="E9" s="2" t="s">
        <v>93</v>
      </c>
      <c r="F9" s="2" t="s">
        <v>94</v>
      </c>
      <c r="G9" s="2" t="s">
        <v>95</v>
      </c>
      <c r="H9" s="2" t="s">
        <v>96</v>
      </c>
    </row>
    <row r="10" spans="1:12" ht="28.8" x14ac:dyDescent="0.3">
      <c r="A10" s="2" t="s">
        <v>97</v>
      </c>
      <c r="B10" s="2" t="s">
        <v>55</v>
      </c>
      <c r="C10" s="2" t="s">
        <v>98</v>
      </c>
      <c r="D10" s="2" t="s">
        <v>99</v>
      </c>
      <c r="E10" s="2" t="s">
        <v>93</v>
      </c>
      <c r="F10" s="4">
        <v>46204</v>
      </c>
      <c r="G10" s="2" t="s">
        <v>59</v>
      </c>
      <c r="H10" s="2" t="s">
        <v>100</v>
      </c>
    </row>
  </sheetData>
  <dataValidations count="2">
    <dataValidation type="list" allowBlank="1" showInputMessage="1" showErrorMessage="1" sqref="G2:G50" xr:uid="{235F4EEC-A34F-4EC7-8497-99F1A43DE53D}">
      <formula1>"New,Good,Fair,Damaged"</formula1>
    </dataValidation>
    <dataValidation type="list" allowBlank="1" showInputMessage="1" showErrorMessage="1" sqref="H2:H50" xr:uid="{ECC33D6D-E07D-44D7-8697-47B43397F060}">
      <formula1>"In Use,In Stock,Under Repair,Returned"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BABURAJ</dc:creator>
  <cp:lastModifiedBy>NANDANA BABURAJ</cp:lastModifiedBy>
  <dcterms:created xsi:type="dcterms:W3CDTF">2026-10-14T08:35:09Z</dcterms:created>
  <dcterms:modified xsi:type="dcterms:W3CDTF">2026-10-14T17:03:49Z</dcterms:modified>
</cp:coreProperties>
</file>